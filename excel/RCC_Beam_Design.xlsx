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oad Calculation" sheetId="2" state="visible" r:id="rId2"/>
    <sheet name="Flexural Design" sheetId="3" state="visible" r:id="rId3"/>
    <sheet name="Shear Design" sheetId="4" state="visible" r:id="rId4"/>
    <sheet name="Reinforcement" sheetId="5" state="visible" r:id="rId5"/>
    <sheet name="Serviceability" sheetId="6" state="visible" r:id="rId6"/>
    <sheet name="Desig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666666"/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2" customHeight="1">
      <c r="A1" s="1" t="inlineStr">
        <is>
          <t>RCC BEAM DESIGN - INPUTS (B1)</t>
        </is>
      </c>
    </row>
    <row r="3">
      <c r="A3" s="2" t="inlineStr">
        <is>
          <t>Span (mm)</t>
        </is>
      </c>
      <c r="B3" t="n">
        <v>5000</v>
      </c>
    </row>
    <row r="4">
      <c r="A4" s="2" t="inlineStr">
        <is>
          <t>Width, b (mm)</t>
        </is>
      </c>
      <c r="B4" t="n">
        <v>300</v>
      </c>
    </row>
    <row r="5">
      <c r="A5" s="2" t="inlineStr">
        <is>
          <t>Overall Depth, D (mm)</t>
        </is>
      </c>
      <c r="B5" t="n">
        <v>500</v>
      </c>
    </row>
    <row r="6">
      <c r="A6" s="2" t="inlineStr">
        <is>
          <t>Clear Cover (mm)</t>
        </is>
      </c>
      <c r="B6" t="n">
        <v>25</v>
      </c>
    </row>
    <row r="7">
      <c r="A7" s="2" t="inlineStr">
        <is>
          <t>Stirrup Diameter (mm)</t>
        </is>
      </c>
      <c r="B7" t="n">
        <v>8</v>
      </c>
    </row>
    <row r="8">
      <c r="A8" s="2" t="inlineStr">
        <is>
          <t>Main Bar Diameter, trial (mm)</t>
        </is>
      </c>
      <c r="B8" t="n">
        <v>16</v>
      </c>
    </row>
    <row r="9">
      <c r="A9" s="2" t="inlineStr">
        <is>
          <t>Concrete Grade, fck (N/mm2)</t>
        </is>
      </c>
      <c r="B9" t="n">
        <v>25</v>
      </c>
    </row>
    <row r="10">
      <c r="A10" s="2" t="inlineStr">
        <is>
          <t>Steel Grade, fy (N/mm2)</t>
        </is>
      </c>
      <c r="B10" t="n">
        <v>415</v>
      </c>
    </row>
    <row r="11">
      <c r="A11" s="2" t="inlineStr">
        <is>
          <t>xu,max / d ratio (Cl. 38.1)</t>
        </is>
      </c>
      <c r="B11">
        <f>IF(B10=250,0.53,IF(B10=415,0.48,IF(B10=500,0.46,IF(B10=550,0.44,"?"))))</f>
        <v/>
      </c>
    </row>
    <row r="12">
      <c r="A12" s="2" t="inlineStr">
        <is>
          <t>Dead Load, excl. self-weight (kN/m)</t>
        </is>
      </c>
      <c r="B12" t="n">
        <v>12</v>
      </c>
    </row>
    <row r="13">
      <c r="A13" s="2" t="inlineStr">
        <is>
          <t>Live Load (kN/m)</t>
        </is>
      </c>
      <c r="B13" t="n">
        <v>8</v>
      </c>
    </row>
    <row r="14">
      <c r="A14" s="2" t="inlineStr">
        <is>
          <t>Unit weight of RCC (kN/m3)</t>
        </is>
      </c>
      <c r="B14" t="n">
        <v>25</v>
      </c>
    </row>
    <row r="15">
      <c r="A15" s="2" t="inlineStr">
        <is>
          <t>Selected Main Bar Count (for verification)</t>
        </is>
      </c>
      <c r="B15" t="n">
        <v>4</v>
      </c>
    </row>
    <row r="16">
      <c r="A16" s="2" t="inlineStr">
        <is>
          <t>Stirrup Legs</t>
        </is>
      </c>
      <c r="B16" t="n">
        <v>2</v>
      </c>
    </row>
    <row r="18">
      <c r="A18" s="3" t="inlineStr">
        <is>
          <t>NOTE: uses the trial bar diameter for effective depth (not the optimizer's final selection - see Python tool for the actual bar-selection loop).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5" customWidth="1" min="3" max="3"/>
  </cols>
  <sheetData>
    <row r="1" ht="22" customHeight="1">
      <c r="A1" s="1" t="inlineStr">
        <is>
          <t>LOAD CALCULATION</t>
        </is>
      </c>
    </row>
    <row r="3">
      <c r="A3" s="2" t="inlineStr">
        <is>
          <t>Effective depth, d (mm)</t>
        </is>
      </c>
      <c r="B3">
        <f>Inputs!B5-Inputs!B6-Inputs!B7-Inputs!B8/2</f>
        <v/>
      </c>
      <c r="C3" s="3" t="inlineStr">
        <is>
          <t>D - cover - stirrup dia - bar dia/2 (Cl. 25.4)</t>
        </is>
      </c>
    </row>
    <row r="4">
      <c r="A4" s="2" t="inlineStr">
        <is>
          <t>Self-weight (kN/m)</t>
        </is>
      </c>
      <c r="B4">
        <f>(Inputs!B4/1000)*(Inputs!B5/1000)*Inputs!B14</f>
        <v/>
      </c>
    </row>
    <row r="5">
      <c r="A5" s="2" t="inlineStr">
        <is>
          <t>Total service load (kN/m)</t>
        </is>
      </c>
      <c r="B5">
        <f>Inputs!B12+Inputs!B13+B4</f>
        <v/>
      </c>
    </row>
    <row r="6">
      <c r="A6" s="2" t="inlineStr">
        <is>
          <t>Factored load, wu (kN/m)</t>
        </is>
      </c>
      <c r="B6">
        <f>1.5*B5</f>
        <v/>
      </c>
      <c r="C6" s="3" t="inlineStr">
        <is>
          <t>1.5(DL+LL) - Table 18 / Cl. 36.4.1</t>
        </is>
      </c>
    </row>
    <row r="7">
      <c r="A7" s="2" t="inlineStr">
        <is>
          <t>Design Moment, Mu (kNm)</t>
        </is>
      </c>
      <c r="B7">
        <f>B6*(Inputs!B3/1000)^2/8</f>
        <v/>
      </c>
      <c r="C7" s="3" t="inlineStr">
        <is>
          <t>wu*L^2/8, simply supported UDL</t>
        </is>
      </c>
    </row>
    <row r="8">
      <c r="A8" s="2" t="inlineStr">
        <is>
          <t>Design Shear, Vu (kN)</t>
        </is>
      </c>
      <c r="B8">
        <f>B6*(Inputs!B3/1000)/2</f>
        <v/>
      </c>
      <c r="C8" s="3" t="inlineStr">
        <is>
          <t>wu*L/2, simply supported UDL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2" customHeight="1">
      <c r="A1" s="1" t="inlineStr">
        <is>
          <t>FLEXURAL DESIGN - SINGLY REINFORCED</t>
        </is>
      </c>
    </row>
    <row r="3">
      <c r="A3" s="2" t="inlineStr">
        <is>
          <t>Effective depth, d (mm)</t>
        </is>
      </c>
      <c r="B3">
        <f>'Load Calculation'!B3</f>
        <v/>
      </c>
    </row>
    <row r="4">
      <c r="A4" s="2" t="inlineStr">
        <is>
          <t>Design Moment, Mu (kNm)</t>
        </is>
      </c>
      <c r="B4">
        <f>'Load Calculation'!B7</f>
        <v/>
      </c>
    </row>
    <row r="5">
      <c r="A5" s="2" t="inlineStr">
        <is>
          <t>xu,max / d ratio</t>
        </is>
      </c>
      <c r="B5">
        <f>Inputs!B11</f>
        <v/>
      </c>
    </row>
    <row r="6">
      <c r="A6" s="2" t="inlineStr">
        <is>
          <t>Mu,lim (kNm)</t>
        </is>
      </c>
      <c r="B6">
        <f>0.36*B5*(1-0.42*B5)*Inputs!B9*Inputs!B4*B3^2/1000000</f>
        <v/>
      </c>
      <c r="C6" s="3" t="inlineStr">
        <is>
          <t>IS 456 Annex G-1.1(c)</t>
        </is>
      </c>
    </row>
    <row r="7">
      <c r="A7" s="2" t="inlineStr">
        <is>
          <t>Doubly reinforced required?</t>
        </is>
      </c>
      <c r="B7">
        <f>IF(B4&gt;B6,"YES - see Python tool","NO")</f>
        <v/>
      </c>
    </row>
    <row r="8">
      <c r="A8" s="2" t="inlineStr">
        <is>
          <t>Ast, required (mm^2)</t>
        </is>
      </c>
      <c r="B8">
        <f>IF(B4&lt;=B6, 0.5*(Inputs!B9/Inputs!B10)*Inputs!B4*B3*(1-SQRT(1-4.6*B4*1000000/(Inputs!B9*Inputs!B4*B3^2))), "N/A")</f>
        <v/>
      </c>
      <c r="C8" s="3" t="inlineStr">
        <is>
          <t>Annex G-1.1(b)</t>
        </is>
      </c>
    </row>
    <row r="9">
      <c r="A9" s="2" t="inlineStr">
        <is>
          <t>Ast, min (mm^2)</t>
        </is>
      </c>
      <c r="B9">
        <f>0.85*Inputs!B4*B3/Inputs!B10</f>
        <v/>
      </c>
      <c r="C9" s="3" t="inlineStr">
        <is>
          <t>Cl. 26.5.1.1(a)</t>
        </is>
      </c>
    </row>
    <row r="10">
      <c r="A10" s="2" t="inlineStr">
        <is>
          <t>Ast, max (mm^2)</t>
        </is>
      </c>
      <c r="B10">
        <f>0.04*Inputs!B4*Inputs!B5</f>
        <v/>
      </c>
      <c r="C10" s="3" t="inlineStr">
        <is>
          <t>Cl. 26.5.1.1(b)</t>
        </is>
      </c>
    </row>
    <row r="11">
      <c r="A11" s="2" t="inlineStr">
        <is>
          <t>Ast, design (mm^2)</t>
        </is>
      </c>
      <c r="B11">
        <f>IF(B7="NO",MAX(B8,B9),"N/A")</f>
        <v/>
      </c>
    </row>
    <row r="12">
      <c r="A12" s="2" t="inlineStr">
        <is>
          <t>Flexure Status</t>
        </is>
      </c>
      <c r="B12">
        <f>IF(B7="NO",IF(B11&lt;=B10,"SAFE","FAIL - exceeds Ast,max"),"Doubly reinforced - use Python tool")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5" customWidth="1" min="3" max="3"/>
  </cols>
  <sheetData>
    <row r="1" ht="22" customHeight="1">
      <c r="A1" s="1" t="inlineStr">
        <is>
          <t>SHEAR DESIGN (VERTICAL STIRRUPS)</t>
        </is>
      </c>
    </row>
    <row r="3">
      <c r="A3" s="2" t="inlineStr">
        <is>
          <t>Effective depth, d (mm)</t>
        </is>
      </c>
      <c r="B3">
        <f>'Load Calculation'!B3</f>
        <v/>
      </c>
    </row>
    <row r="4">
      <c r="A4" s="2" t="inlineStr">
        <is>
          <t>Design Shear, Vu (kN)</t>
        </is>
      </c>
      <c r="B4">
        <f>'Load Calculation'!B8</f>
        <v/>
      </c>
    </row>
    <row r="5">
      <c r="A5" s="2" t="inlineStr">
        <is>
          <t>tau_v (N/mm2)</t>
        </is>
      </c>
      <c r="B5">
        <f>B4*1000/(Inputs!B4*B3)</f>
        <v/>
      </c>
      <c r="C5" s="3" t="inlineStr">
        <is>
          <t>Cl. 40.1</t>
        </is>
      </c>
    </row>
    <row r="6">
      <c r="A6" s="2" t="inlineStr">
        <is>
          <t>Ast provided (mm^2)</t>
        </is>
      </c>
      <c r="B6">
        <f>Inputs!B15*PI()*Inputs!B8^2/4</f>
        <v/>
      </c>
    </row>
    <row r="7">
      <c r="A7" s="2" t="inlineStr">
        <is>
          <t>pt, % tension steel provided</t>
        </is>
      </c>
      <c r="B7">
        <f>100*B6/(Inputs!B4*B3)</f>
        <v/>
      </c>
    </row>
    <row r="8">
      <c r="A8" s="2" t="inlineStr">
        <is>
          <t>tau_c (N/mm2)</t>
        </is>
      </c>
      <c r="B8">
        <f>IF(C27=C26,B29,B29+(B7-C26)/(C27-C26)*(B30-B29))</f>
        <v/>
      </c>
      <c r="C8" s="3" t="inlineStr">
        <is>
          <t>Table 19 (interpolated below), Cl. 40.2.1</t>
        </is>
      </c>
    </row>
    <row r="9">
      <c r="A9" s="2" t="inlineStr">
        <is>
          <t>tau_c,max (N/mm2)</t>
        </is>
      </c>
      <c r="B9">
        <f>INDEX(B47:G47,MATCH(Inputs!B9,B46:G46,0))</f>
        <v/>
      </c>
      <c r="C9" s="3" t="inlineStr">
        <is>
          <t>Table 20, Cl. 40.2.3</t>
        </is>
      </c>
    </row>
    <row r="10">
      <c r="A10" s="2" t="inlineStr">
        <is>
          <t>Section adequate?</t>
        </is>
      </c>
      <c r="B10">
        <f>IF(B5&lt;=B9,"YES","NO - increase b or D")</f>
        <v/>
      </c>
    </row>
    <row r="11">
      <c r="A11" s="2" t="inlineStr">
        <is>
          <t>Reinforcement basis</t>
        </is>
      </c>
      <c r="B11">
        <f>IF(B5&lt;=B8,"Minimum (Cl. 40.3)","Designed (Cl. 40.4)")</f>
        <v/>
      </c>
    </row>
    <row r="12">
      <c r="A12" s="2" t="inlineStr">
        <is>
          <t>Vus (kN)</t>
        </is>
      </c>
      <c r="B12">
        <f>IF(B5&gt;B8,B4-B8*Inputs!B4*B3/1000,0)</f>
        <v/>
      </c>
    </row>
    <row r="13">
      <c r="A13" s="2" t="inlineStr">
        <is>
          <t>Asv, 2-legged (mm^2)</t>
        </is>
      </c>
      <c r="B13">
        <f>Inputs!B16*PI()*Inputs!B7^2/4</f>
        <v/>
      </c>
    </row>
    <row r="14">
      <c r="A14" s="2" t="inlineStr">
        <is>
          <t>Spacing, calculated (mm)</t>
        </is>
      </c>
      <c r="B14">
        <f>IF(B11="Minimum (Cl. 40.3)",0.87*Inputs!B10*B13/(0.4*Inputs!B4),0.87*Inputs!B10*B13*B3/(B12*1000))</f>
        <v/>
      </c>
    </row>
    <row r="15">
      <c r="A15" s="2" t="inlineStr">
        <is>
          <t>Spacing, max allowed (mm)</t>
        </is>
      </c>
      <c r="B15">
        <f>MIN(0.75*B3,300)</f>
        <v/>
      </c>
      <c r="C15" s="3" t="inlineStr">
        <is>
          <t>Cl. 26.5.1.5</t>
        </is>
      </c>
    </row>
    <row r="16">
      <c r="A16" s="2" t="inlineStr">
        <is>
          <t>Spacing, provided (mm)</t>
        </is>
      </c>
      <c r="B16">
        <f>FLOOR(MIN(B14,B15),25)</f>
        <v/>
      </c>
    </row>
    <row r="17">
      <c r="A17" s="2" t="inlineStr">
        <is>
          <t>Shear Status</t>
        </is>
      </c>
      <c r="B17">
        <f>IF(AND(B10="YES",B16&gt;0),"SAFE","FAIL")</f>
        <v/>
      </c>
    </row>
    <row r="25">
      <c r="A25" s="3" t="inlineStr">
        <is>
          <t>Working: Table 19 interpolation</t>
        </is>
      </c>
    </row>
    <row r="26">
      <c r="A26" t="inlineStr">
        <is>
          <t>Row index (lower pt)</t>
        </is>
      </c>
      <c r="B26">
        <f>IFERROR(MATCH(B7,A32:A44,1),1)</f>
        <v/>
      </c>
      <c r="C26">
        <f>INDEX($A$32:$A$44,B26)</f>
        <v/>
      </c>
    </row>
    <row r="27">
      <c r="A27" t="inlineStr">
        <is>
          <t>Row index (upper pt)</t>
        </is>
      </c>
      <c r="B27">
        <f>IF(B26&lt;13,B26+1,B26)</f>
        <v/>
      </c>
      <c r="C27">
        <f>INDEX($A$32:$A$44,B27)</f>
        <v/>
      </c>
    </row>
    <row r="28">
      <c r="A28" t="inlineStr">
        <is>
          <t>Column index (fck)</t>
        </is>
      </c>
      <c r="B28">
        <f>MATCH(Inputs!B9,B31:G31,0)+1</f>
        <v/>
      </c>
    </row>
    <row r="29">
      <c r="A29" t="inlineStr">
        <is>
          <t>Lower tau_c</t>
        </is>
      </c>
      <c r="B29">
        <f>INDEX($A$32:$G$44,B26,B28)</f>
        <v/>
      </c>
    </row>
    <row r="30">
      <c r="A30" t="inlineStr">
        <is>
          <t>Upper tau_c</t>
        </is>
      </c>
      <c r="B30">
        <f>INDEX($A$32:$G$44,B27,B28)</f>
        <v/>
      </c>
    </row>
    <row r="31">
      <c r="A31" t="inlineStr">
        <is>
          <t>pt (%)</t>
        </is>
      </c>
      <c r="B31" t="n">
        <v>15</v>
      </c>
      <c r="C31" t="n">
        <v>20</v>
      </c>
      <c r="D31" t="n">
        <v>25</v>
      </c>
      <c r="E31" t="n">
        <v>30</v>
      </c>
      <c r="F31" t="n">
        <v>35</v>
      </c>
      <c r="G31" t="n">
        <v>40</v>
      </c>
    </row>
    <row r="32">
      <c r="A32" t="n">
        <v>0.15</v>
      </c>
      <c r="B32" t="n">
        <v>0.28</v>
      </c>
      <c r="C32" t="n">
        <v>0.28</v>
      </c>
      <c r="D32" t="n">
        <v>0.29</v>
      </c>
      <c r="E32" t="n">
        <v>0.29</v>
      </c>
      <c r="F32" t="n">
        <v>0.29</v>
      </c>
      <c r="G32" t="n">
        <v>0.3</v>
      </c>
    </row>
    <row r="33">
      <c r="A33" t="n">
        <v>0.25</v>
      </c>
      <c r="B33" t="n">
        <v>0.35</v>
      </c>
      <c r="C33" t="n">
        <v>0.36</v>
      </c>
      <c r="D33" t="n">
        <v>0.36</v>
      </c>
      <c r="E33" t="n">
        <v>0.37</v>
      </c>
      <c r="F33" t="n">
        <v>0.37</v>
      </c>
      <c r="G33" t="n">
        <v>0.38</v>
      </c>
    </row>
    <row r="34">
      <c r="A34" t="n">
        <v>0.5</v>
      </c>
      <c r="B34" t="n">
        <v>0.46</v>
      </c>
      <c r="C34" t="n">
        <v>0.48</v>
      </c>
      <c r="D34" t="n">
        <v>0.49</v>
      </c>
      <c r="E34" t="n">
        <v>0.5</v>
      </c>
      <c r="F34" t="n">
        <v>0.5</v>
      </c>
      <c r="G34" t="n">
        <v>0.51</v>
      </c>
    </row>
    <row r="35">
      <c r="A35" t="n">
        <v>0.75</v>
      </c>
      <c r="B35" t="n">
        <v>0.54</v>
      </c>
      <c r="C35" t="n">
        <v>0.5600000000000001</v>
      </c>
      <c r="D35" t="n">
        <v>0.57</v>
      </c>
      <c r="E35" t="n">
        <v>0.59</v>
      </c>
      <c r="F35" t="n">
        <v>0.59</v>
      </c>
      <c r="G35" t="n">
        <v>0.6</v>
      </c>
    </row>
    <row r="36">
      <c r="A36" t="n">
        <v>1</v>
      </c>
      <c r="B36" t="n">
        <v>0.6</v>
      </c>
      <c r="C36" t="n">
        <v>0.62</v>
      </c>
      <c r="D36" t="n">
        <v>0.64</v>
      </c>
      <c r="E36" t="n">
        <v>0.66</v>
      </c>
      <c r="F36" t="n">
        <v>0.67</v>
      </c>
      <c r="G36" t="n">
        <v>0.68</v>
      </c>
    </row>
    <row r="37">
      <c r="A37" t="n">
        <v>1.25</v>
      </c>
      <c r="B37" t="n">
        <v>0.64</v>
      </c>
      <c r="C37" t="n">
        <v>0.67</v>
      </c>
      <c r="D37" t="n">
        <v>0.7</v>
      </c>
      <c r="E37" t="n">
        <v>0.71</v>
      </c>
      <c r="F37" t="n">
        <v>0.73</v>
      </c>
      <c r="G37" t="n">
        <v>0.74</v>
      </c>
    </row>
    <row r="38">
      <c r="A38" t="n">
        <v>1.5</v>
      </c>
      <c r="B38" t="n">
        <v>0.68</v>
      </c>
      <c r="C38" t="n">
        <v>0.72</v>
      </c>
      <c r="D38" t="n">
        <v>0.74</v>
      </c>
      <c r="E38" t="n">
        <v>0.76</v>
      </c>
      <c r="F38" t="n">
        <v>0.78</v>
      </c>
      <c r="G38" t="n">
        <v>0.79</v>
      </c>
    </row>
    <row r="39">
      <c r="A39" t="n">
        <v>1.75</v>
      </c>
      <c r="B39" t="n">
        <v>0.71</v>
      </c>
      <c r="C39" t="n">
        <v>0.75</v>
      </c>
      <c r="D39" t="n">
        <v>0.78</v>
      </c>
      <c r="E39" t="n">
        <v>0.8</v>
      </c>
      <c r="F39" t="n">
        <v>0.82</v>
      </c>
      <c r="G39" t="n">
        <v>0.84</v>
      </c>
    </row>
    <row r="40">
      <c r="A40" t="n">
        <v>2</v>
      </c>
      <c r="B40" t="n">
        <v>0.71</v>
      </c>
      <c r="C40" t="n">
        <v>0.79</v>
      </c>
      <c r="D40" t="n">
        <v>0.82</v>
      </c>
      <c r="E40" t="n">
        <v>0.84</v>
      </c>
      <c r="F40" t="n">
        <v>0.86</v>
      </c>
      <c r="G40" t="n">
        <v>0.88</v>
      </c>
    </row>
    <row r="41">
      <c r="A41" t="n">
        <v>2.25</v>
      </c>
      <c r="B41" t="n">
        <v>0.71</v>
      </c>
      <c r="C41" t="n">
        <v>0.8100000000000001</v>
      </c>
      <c r="D41" t="n">
        <v>0.85</v>
      </c>
      <c r="E41" t="n">
        <v>0.88</v>
      </c>
      <c r="F41" t="n">
        <v>0.9</v>
      </c>
      <c r="G41" t="n">
        <v>0.92</v>
      </c>
    </row>
    <row r="42">
      <c r="A42" t="n">
        <v>2.5</v>
      </c>
      <c r="B42" t="n">
        <v>0.71</v>
      </c>
      <c r="C42" t="n">
        <v>0.82</v>
      </c>
      <c r="D42" t="n">
        <v>0.88</v>
      </c>
      <c r="E42" t="n">
        <v>0.91</v>
      </c>
      <c r="F42" t="n">
        <v>0.93</v>
      </c>
      <c r="G42" t="n">
        <v>0.95</v>
      </c>
    </row>
    <row r="43">
      <c r="A43" t="n">
        <v>2.75</v>
      </c>
      <c r="B43" t="n">
        <v>0.71</v>
      </c>
      <c r="C43" t="n">
        <v>0.82</v>
      </c>
      <c r="D43" t="n">
        <v>0.9</v>
      </c>
      <c r="E43" t="n">
        <v>0.9399999999999999</v>
      </c>
      <c r="F43" t="n">
        <v>0.96</v>
      </c>
      <c r="G43" t="n">
        <v>0.98</v>
      </c>
    </row>
    <row r="44">
      <c r="A44" t="n">
        <v>3</v>
      </c>
      <c r="B44" t="n">
        <v>0.71</v>
      </c>
      <c r="C44" t="n">
        <v>0.82</v>
      </c>
      <c r="D44" t="n">
        <v>0.92</v>
      </c>
      <c r="E44" t="n">
        <v>0.96</v>
      </c>
      <c r="F44" t="n">
        <v>0.99</v>
      </c>
      <c r="G44" t="n">
        <v>1.01</v>
      </c>
    </row>
    <row r="46">
      <c r="A46" t="inlineStr">
        <is>
          <t>Grade</t>
        </is>
      </c>
      <c r="B46" t="n">
        <v>15</v>
      </c>
      <c r="C46" t="n">
        <v>20</v>
      </c>
      <c r="D46" t="n">
        <v>25</v>
      </c>
      <c r="E46" t="n">
        <v>30</v>
      </c>
      <c r="F46" t="n">
        <v>35</v>
      </c>
      <c r="G46" t="n">
        <v>40</v>
      </c>
    </row>
    <row r="47">
      <c r="A47" t="inlineStr">
        <is>
          <t>tau_c,max</t>
        </is>
      </c>
      <c r="B47" t="n">
        <v>2.5</v>
      </c>
      <c r="C47" t="n">
        <v>2.8</v>
      </c>
      <c r="D47" t="n">
        <v>3.1</v>
      </c>
      <c r="E47" t="n">
        <v>3.5</v>
      </c>
      <c r="F47" t="n">
        <v>3.7</v>
      </c>
      <c r="G47" t="n">
        <v>4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5" customWidth="1" min="3" max="3"/>
  </cols>
  <sheetData>
    <row r="1" ht="22" customHeight="1">
      <c r="A1" s="1" t="inlineStr">
        <is>
          <t>REINFORCEMENT DETAILING</t>
        </is>
      </c>
    </row>
    <row r="3">
      <c r="A3" s="2" t="inlineStr">
        <is>
          <t>Selected bar diameter (mm)</t>
        </is>
      </c>
      <c r="B3">
        <f>Inputs!B8</f>
        <v/>
      </c>
    </row>
    <row r="4">
      <c r="A4" s="2" t="inlineStr">
        <is>
          <t>Selected bar count</t>
        </is>
      </c>
      <c r="B4">
        <f>Inputs!B15</f>
        <v/>
      </c>
    </row>
    <row r="5">
      <c r="A5" s="2" t="inlineStr">
        <is>
          <t>Ast provided (mm^2)</t>
        </is>
      </c>
      <c r="B5">
        <f>B4*PI()*B3^2/4</f>
        <v/>
      </c>
    </row>
    <row r="6">
      <c r="A6" s="2" t="inlineStr">
        <is>
          <t>Ast required (from Flexural Design)</t>
        </is>
      </c>
      <c r="B6">
        <f>'Flexural Design'!B8</f>
        <v/>
      </c>
    </row>
    <row r="7">
      <c r="A7" s="2" t="inlineStr">
        <is>
          <t>Excess steel (%)</t>
        </is>
      </c>
      <c r="B7">
        <f>(B5-B6)/B6*100</f>
        <v/>
      </c>
    </row>
    <row r="8">
      <c r="A8" s="2" t="inlineStr">
        <is>
          <t>Clear bar spacing (mm)</t>
        </is>
      </c>
      <c r="B8">
        <f>(Inputs!B4-2*Inputs!B6-2*Inputs!B7-B4*B3)/(B4-1)</f>
        <v/>
      </c>
      <c r="C8" s="3" t="inlineStr">
        <is>
          <t>Cl. 26.3.2</t>
        </is>
      </c>
    </row>
    <row r="9">
      <c r="A9" s="2" t="inlineStr">
        <is>
          <t>Min required spacing (mm)</t>
        </is>
      </c>
      <c r="B9">
        <f>MAX(B3,25)</f>
        <v/>
      </c>
    </row>
    <row r="10">
      <c r="A10" s="2" t="inlineStr">
        <is>
          <t>Spacing check</t>
        </is>
      </c>
      <c r="B10">
        <f>IF(B8&gt;=B9,"OK","FAIL - bars too close")</f>
        <v/>
      </c>
    </row>
    <row r="11">
      <c r="A11" s="2" t="inlineStr">
        <is>
          <t>Development length, Ld (mm)</t>
        </is>
      </c>
      <c r="B11">
        <f>B3*0.87*Inputs!B10/(4*INDEX(B22:F22,MATCH(Inputs!B9,B21:F21,0)))</f>
        <v/>
      </c>
      <c r="C11" s="3" t="inlineStr">
        <is>
          <t>Cl. 26.2.1, 26.2.1.1</t>
        </is>
      </c>
    </row>
    <row r="20">
      <c r="A20" s="3" t="inlineStr">
        <is>
          <t>Working: bond stress table (deformed bars)</t>
        </is>
      </c>
    </row>
    <row r="21">
      <c r="A21" t="inlineStr">
        <is>
          <t>Grade</t>
        </is>
      </c>
      <c r="B21" t="n">
        <v>20</v>
      </c>
      <c r="C21" t="n">
        <v>25</v>
      </c>
      <c r="D21" t="n">
        <v>30</v>
      </c>
      <c r="E21" t="n">
        <v>35</v>
      </c>
      <c r="F21" t="n">
        <v>40</v>
      </c>
    </row>
    <row r="22">
      <c r="A22" t="inlineStr">
        <is>
          <t>tau_bd (deformed)</t>
        </is>
      </c>
      <c r="B22" t="n">
        <v>1.92</v>
      </c>
      <c r="C22" t="n">
        <v>2.24</v>
      </c>
      <c r="D22" t="n">
        <v>2.4</v>
      </c>
      <c r="E22" t="n">
        <v>2.72</v>
      </c>
      <c r="F22" t="n">
        <v>3.04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5" customWidth="1" min="3" max="3"/>
  </cols>
  <sheetData>
    <row r="1" ht="22" customHeight="1">
      <c r="A1" s="1" t="inlineStr">
        <is>
          <t>SERVICEABILITY - DEFLECTION (SPAN/DEPTH)</t>
        </is>
      </c>
    </row>
    <row r="3">
      <c r="A3" s="2" t="inlineStr">
        <is>
          <t>Effective depth, d (mm)</t>
        </is>
      </c>
      <c r="B3">
        <f>'Load Calculation'!B3</f>
        <v/>
      </c>
    </row>
    <row r="4">
      <c r="A4" s="2" t="inlineStr">
        <is>
          <t>Span (mm)</t>
        </is>
      </c>
      <c r="B4">
        <f>Inputs!B3</f>
        <v/>
      </c>
    </row>
    <row r="5">
      <c r="A5" s="2" t="inlineStr">
        <is>
          <t>Basic L/d ratio (simply supported)</t>
        </is>
      </c>
      <c r="B5">
        <f>IF(B4&lt;=10000,20,20*10000/B4)</f>
        <v/>
      </c>
      <c r="C5" s="3" t="inlineStr">
        <is>
          <t>Cl. 23.2.1</t>
        </is>
      </c>
    </row>
    <row r="6">
      <c r="A6" s="2" t="inlineStr">
        <is>
          <t>Ast required</t>
        </is>
      </c>
      <c r="B6">
        <f>'Flexural Design'!B8</f>
        <v/>
      </c>
    </row>
    <row r="7">
      <c r="A7" s="2" t="inlineStr">
        <is>
          <t>Ast provided</t>
        </is>
      </c>
      <c r="B7">
        <f>Reinforcement!B5</f>
        <v/>
      </c>
    </row>
    <row r="8">
      <c r="A8" s="2" t="inlineStr">
        <is>
          <t>fs, service stress (N/mm2)</t>
        </is>
      </c>
      <c r="B8">
        <f>0.58*Inputs!B10*(B6/B7)</f>
        <v/>
      </c>
    </row>
    <row r="9">
      <c r="A9" s="2" t="inlineStr">
        <is>
          <t>pt, % tension steel provided</t>
        </is>
      </c>
      <c r="B9">
        <f>100*B7/(Inputs!B4*B3)</f>
        <v/>
      </c>
    </row>
    <row r="10">
      <c r="A10" s="2" t="inlineStr">
        <is>
          <t>kt (modification factor)</t>
        </is>
      </c>
      <c r="B10">
        <f>MAX(0.4,MIN(2,1/(0.225+0.00322*B8-0.625*LOG10(B9))))</f>
        <v/>
      </c>
      <c r="C10" s="3" t="inlineStr">
        <is>
          <t>Fig. 4 (SP:16 fit)</t>
        </is>
      </c>
    </row>
    <row r="11">
      <c r="A11" s="2" t="inlineStr">
        <is>
          <t>kc (compression steel factor)</t>
        </is>
      </c>
      <c r="B11" t="n">
        <v>1</v>
      </c>
      <c r="C11" s="3" t="inlineStr">
        <is>
          <t>1.0 - singly reinforced only in this sheet</t>
        </is>
      </c>
    </row>
    <row r="12">
      <c r="A12" s="2" t="inlineStr">
        <is>
          <t>Allowable L/d</t>
        </is>
      </c>
      <c r="B12">
        <f>B5*B10*B11</f>
        <v/>
      </c>
    </row>
    <row r="13">
      <c r="A13" s="2" t="inlineStr">
        <is>
          <t>Actual L/d</t>
        </is>
      </c>
      <c r="B13">
        <f>B4/B3</f>
        <v/>
      </c>
    </row>
    <row r="14">
      <c r="A14" s="2" t="inlineStr">
        <is>
          <t>Serviceability Status</t>
        </is>
      </c>
      <c r="B14">
        <f>IF(B13&lt;=B12,"SAFE","FAIL - increase depth or reduce span")</f>
        <v/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0" customWidth="1" min="3" max="3"/>
  </cols>
  <sheetData>
    <row r="1" ht="22" customHeight="1">
      <c r="A1" s="1" t="inlineStr">
        <is>
          <t>RCC BEAM DESIGN SUMMARY</t>
        </is>
      </c>
    </row>
    <row r="3">
      <c r="A3" s="2" t="inlineStr">
        <is>
          <t>Span (m)</t>
        </is>
      </c>
      <c r="B3">
        <f>Inputs!B3/1000</f>
        <v/>
      </c>
    </row>
    <row r="4">
      <c r="A4" s="2" t="inlineStr">
        <is>
          <t>Width x Overall Depth (mm)</t>
        </is>
      </c>
      <c r="B4">
        <f>Inputs!B4&amp;" x "&amp;Inputs!B5</f>
        <v/>
      </c>
    </row>
    <row r="5">
      <c r="A5" s="2" t="inlineStr">
        <is>
          <t>Concrete / Steel</t>
        </is>
      </c>
      <c r="B5">
        <f>"M"&amp;Inputs!B9&amp;" / Fe"&amp;Inputs!B10</f>
        <v/>
      </c>
    </row>
    <row r="6">
      <c r="A6" s="2" t="inlineStr">
        <is>
          <t>Factored Load (kN/m)</t>
        </is>
      </c>
      <c r="B6">
        <f>'Load Calculation'!B6</f>
        <v/>
      </c>
    </row>
    <row r="7">
      <c r="A7" s="2" t="inlineStr">
        <is>
          <t>Design Moment, Mu (kNm)</t>
        </is>
      </c>
      <c r="B7">
        <f>'Load Calculation'!B7</f>
        <v/>
      </c>
    </row>
    <row r="8">
      <c r="A8" s="2" t="inlineStr">
        <is>
          <t>Design Shear, Vu (kN)</t>
        </is>
      </c>
      <c r="B8">
        <f>'Load Calculation'!B8</f>
        <v/>
      </c>
    </row>
    <row r="9">
      <c r="A9" s="2" t="inlineStr">
        <is>
          <t>Ast, required (mm^2)</t>
        </is>
      </c>
      <c r="B9">
        <f>'Flexural Design'!B8</f>
        <v/>
      </c>
    </row>
    <row r="10">
      <c r="A10" s="2" t="inlineStr">
        <is>
          <t>Ast, provided (mm^2)</t>
        </is>
      </c>
      <c r="B10">
        <f>Reinforcement!B5</f>
        <v/>
      </c>
    </row>
    <row r="11">
      <c r="A11" s="2" t="inlineStr">
        <is>
          <t>Main Reinforcement</t>
        </is>
      </c>
      <c r="B11">
        <f>Inputs!B15&amp;" x "&amp;Inputs!B8&amp;"mm"</f>
        <v/>
      </c>
    </row>
    <row r="12">
      <c r="A12" s="2" t="inlineStr">
        <is>
          <t>Stirrups</t>
        </is>
      </c>
      <c r="B12">
        <f>Inputs!B16&amp;"-legged "&amp;Inputs!B7&amp;"mm @ "&amp;'Shear Design'!B16&amp;"mm c/c"</f>
        <v/>
      </c>
    </row>
    <row r="13">
      <c r="A13" s="2" t="inlineStr">
        <is>
          <t>Development Length, Ld (mm)</t>
        </is>
      </c>
      <c r="B13">
        <f>Reinforcement!B11</f>
        <v/>
      </c>
    </row>
    <row r="15">
      <c r="A15" s="2" t="inlineStr">
        <is>
          <t>Flexure Status</t>
        </is>
      </c>
      <c r="B15">
        <f>'Flexural Design'!B12</f>
        <v/>
      </c>
    </row>
    <row r="16">
      <c r="A16" s="2" t="inlineStr">
        <is>
          <t>Shear Status</t>
        </is>
      </c>
      <c r="B16">
        <f>'Shear Design'!B17</f>
        <v/>
      </c>
    </row>
    <row r="17">
      <c r="A17" s="2" t="inlineStr">
        <is>
          <t>Serviceability Status</t>
        </is>
      </c>
      <c r="B17">
        <f>Serviceability!B14</f>
        <v/>
      </c>
    </row>
    <row r="18">
      <c r="A18" s="4" t="inlineStr">
        <is>
          <t>OVERALL STATUS</t>
        </is>
      </c>
      <c r="B18">
        <f>IF(AND(B15="SAFE",B16="SAFE",B17="SAFE"),"SAFE","NOT SAFE - CHECK ABOVE")</f>
        <v/>
      </c>
    </row>
  </sheetData>
  <mergeCells count="1">
    <mergeCell ref="A1:C1"/>
  </mergeCells>
  <conditionalFormatting sqref="B15:B18">
    <cfRule type="cellIs" priority="1" operator="equal" dxfId="0">
      <formula>"SAFE"</formula>
    </cfRule>
    <cfRule type="cellIs" priority="2" operator="notEqual" dxfId="1">
      <formula>"SAFE"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2026-08-27T15:46:43Z</dcterms:created>
  <dcterms:modified xsi:type="dcterms:W3CDTF">2026-08-27T15:46:43Z</dcterms:modified>
</cp:coreProperties>
</file>